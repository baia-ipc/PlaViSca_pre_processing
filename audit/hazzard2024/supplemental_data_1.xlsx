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umaryland-my.sharepoint.com/personal/bhazzard_som_umaryland_edu/Documents/Monkey_Coinfection/Paper/Nature Comms Resub/"/>
    </mc:Choice>
  </mc:AlternateContent>
  <xr:revisionPtr revIDLastSave="0" documentId="8_{7CA6F83B-2AE3-A344-8469-05D5DB45A601}" xr6:coauthVersionLast="47" xr6:coauthVersionMax="47" xr10:uidLastSave="{00000000-0000-0000-0000-000000000000}"/>
  <bookViews>
    <workbookView xWindow="780" yWindow="1000" windowWidth="27640" windowHeight="15980" xr2:uid="{E19F6192-FBAE-7C45-BC7A-572198B9DF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34" i="1"/>
  <c r="P33" i="1"/>
  <c r="P32" i="1"/>
  <c r="P31" i="1"/>
  <c r="P30" i="1"/>
  <c r="P29" i="1"/>
  <c r="P28" i="1"/>
  <c r="P27" i="1"/>
  <c r="K27" i="1"/>
  <c r="P26" i="1"/>
  <c r="K26" i="1"/>
  <c r="P25" i="1"/>
  <c r="K25" i="1"/>
  <c r="P24" i="1"/>
  <c r="K24" i="1"/>
  <c r="P23" i="1"/>
  <c r="K23" i="1"/>
  <c r="P22" i="1"/>
  <c r="K22" i="1"/>
  <c r="P21" i="1"/>
  <c r="K21" i="1"/>
  <c r="P20" i="1"/>
  <c r="K20" i="1"/>
  <c r="P19" i="1"/>
  <c r="K19" i="1"/>
  <c r="P18" i="1"/>
  <c r="K18" i="1"/>
  <c r="P17" i="1"/>
  <c r="K17" i="1"/>
  <c r="P16" i="1"/>
  <c r="K16" i="1"/>
  <c r="P15" i="1"/>
  <c r="K15" i="1"/>
  <c r="P14" i="1"/>
  <c r="K14" i="1"/>
  <c r="P13" i="1"/>
  <c r="K13" i="1"/>
  <c r="P12" i="1"/>
  <c r="K12" i="1"/>
  <c r="P11" i="1"/>
  <c r="K11" i="1"/>
  <c r="P10" i="1"/>
  <c r="K10" i="1"/>
  <c r="P9" i="1"/>
  <c r="K9" i="1"/>
  <c r="P8" i="1"/>
  <c r="K8" i="1"/>
  <c r="P7" i="1"/>
  <c r="K7" i="1"/>
  <c r="P6" i="1"/>
  <c r="K6" i="1"/>
  <c r="P5" i="1"/>
  <c r="K5" i="1"/>
  <c r="P4" i="1"/>
  <c r="K4" i="1"/>
</calcChain>
</file>

<file path=xl/sharedStrings.xml><?xml version="1.0" encoding="utf-8"?>
<sst xmlns="http://schemas.openxmlformats.org/spreadsheetml/2006/main" count="186" uniqueCount="95">
  <si>
    <t xml:space="preserve"> </t>
  </si>
  <si>
    <t>Library</t>
  </si>
  <si>
    <t>Days Post Infection</t>
  </si>
  <si>
    <t>Condition</t>
  </si>
  <si>
    <t>Strain</t>
  </si>
  <si>
    <t>Total Reads (w/ barcode)</t>
  </si>
  <si>
    <t>Reads Mapped</t>
  </si>
  <si>
    <t>Unique barcode/UMI</t>
  </si>
  <si>
    <t>Cells with &gt;1000 reads within genes</t>
  </si>
  <si>
    <t>Reads within genes</t>
  </si>
  <si>
    <t>%Reads within genes</t>
  </si>
  <si>
    <t>Chesson Cells</t>
  </si>
  <si>
    <t>NIH 1993 Cells</t>
  </si>
  <si>
    <t>Cells with &gt;250 reads within genes</t>
  </si>
  <si>
    <t>NIH</t>
  </si>
  <si>
    <t>WGS</t>
  </si>
  <si>
    <t>Mono infection</t>
  </si>
  <si>
    <t>NIH 1993</t>
  </si>
  <si>
    <t>Chesson</t>
  </si>
  <si>
    <t>5708_2</t>
  </si>
  <si>
    <t>scRNA-seq</t>
  </si>
  <si>
    <t>Successive infection</t>
  </si>
  <si>
    <t>Chesson then NIH 1993</t>
  </si>
  <si>
    <t>170,182,601 (84.08%)</t>
  </si>
  <si>
    <t>5708_3</t>
  </si>
  <si>
    <t>154,593,824 (73.54%)</t>
  </si>
  <si>
    <t>5708_4</t>
  </si>
  <si>
    <t>215,241,045 (78.95%)</t>
  </si>
  <si>
    <t>4881_1</t>
  </si>
  <si>
    <t>99,897,151 (56.52%)</t>
  </si>
  <si>
    <t>5309_1</t>
  </si>
  <si>
    <t>108,047,790 (53.63%)</t>
  </si>
  <si>
    <t>5309_2</t>
  </si>
  <si>
    <t>62,694,542 (37.47%)</t>
  </si>
  <si>
    <t>5708_1</t>
  </si>
  <si>
    <t>179,184,226 (79.61%)</t>
  </si>
  <si>
    <t>5163_1</t>
  </si>
  <si>
    <t>Simultaneous infection</t>
  </si>
  <si>
    <t>Chesson &amp; NIH 1993</t>
  </si>
  <si>
    <t>97,775,721 (55.36%)</t>
  </si>
  <si>
    <t>41,889,303 </t>
  </si>
  <si>
    <t>5163_2</t>
  </si>
  <si>
    <t>50,382,443(41.1%)</t>
  </si>
  <si>
    <t>5164_1</t>
  </si>
  <si>
    <t>97,769,745 (47.36%)</t>
  </si>
  <si>
    <t>37,335,074 </t>
  </si>
  <si>
    <t>5164_2</t>
  </si>
  <si>
    <t>62,941,793(46.9%)</t>
  </si>
  <si>
    <t>5350_1</t>
  </si>
  <si>
    <t>Sporozoite infection</t>
  </si>
  <si>
    <t>coinfection</t>
  </si>
  <si>
    <t>117,835,101(81.25%)</t>
  </si>
  <si>
    <t>5350_2</t>
  </si>
  <si>
    <t>122,092,014(82.9%)</t>
  </si>
  <si>
    <t>5350_3</t>
  </si>
  <si>
    <t>122,428,638(81%)</t>
  </si>
  <si>
    <t>5370_1</t>
  </si>
  <si>
    <t>101,469,949(60.1%)</t>
  </si>
  <si>
    <t>5370_2</t>
  </si>
  <si>
    <t>78,504,497(58.2%)</t>
  </si>
  <si>
    <t>5370_3</t>
  </si>
  <si>
    <t>49,441,961(39.4%)</t>
  </si>
  <si>
    <t>5142_1</t>
  </si>
  <si>
    <t>133,537,779 (63.47%)</t>
  </si>
  <si>
    <t>5537_1</t>
  </si>
  <si>
    <t>140,038,798 (66.33%)</t>
  </si>
  <si>
    <t>5550_1</t>
  </si>
  <si>
    <t>133,318,265 (74.25%)</t>
  </si>
  <si>
    <t>5142_2</t>
  </si>
  <si>
    <t>70,545,807 (46.54%)</t>
  </si>
  <si>
    <t>5537_2</t>
  </si>
  <si>
    <t>NIH 1993 then Chesson</t>
  </si>
  <si>
    <t>205,987,181 (87.3%)</t>
  </si>
  <si>
    <t>5537_3</t>
  </si>
  <si>
    <t>130,949,068 (66.75%)</t>
  </si>
  <si>
    <t>5537_4</t>
  </si>
  <si>
    <t>235,779,277 (75.64%)</t>
  </si>
  <si>
    <t>SPZ 5736 6/24</t>
  </si>
  <si>
    <t>Salivary gland sporozoites</t>
  </si>
  <si>
    <t>An. freebornii</t>
  </si>
  <si>
    <t>2,901,437 (4.12%)</t>
  </si>
  <si>
    <t xml:space="preserve">SPZ 5164 6/22.   </t>
  </si>
  <si>
    <t>209,323 (0.28%)</t>
  </si>
  <si>
    <t xml:space="preserve">SPZ 5736 6/24.   </t>
  </si>
  <si>
    <t>2,449,411 (3.28%)</t>
  </si>
  <si>
    <t>SPZ 5736.24</t>
  </si>
  <si>
    <t>An. stephensi</t>
  </si>
  <si>
    <t>2,119,469(2.96%)</t>
  </si>
  <si>
    <t>SPZ 5164 6/21 A</t>
  </si>
  <si>
    <t>3,426,318 (5.47%)</t>
  </si>
  <si>
    <t>SPZ 5164 6/21 B</t>
  </si>
  <si>
    <t>4,465,602 (7.08%)</t>
  </si>
  <si>
    <t>2,155,986 (2.67%)</t>
  </si>
  <si>
    <t xml:space="preserve">SPZ 5736 6/24.  </t>
  </si>
  <si>
    <t>2,659,757 (3.34%)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</si>
</sst>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3" fontId="1" fillId="2" borderId="1" xfId="0" applyNumberFormat="1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2" fontId="1" fillId="2" borderId="1" xfId="0" applyNumberFormat="1" applyFont="1" applyFill="1" applyBorder="1" applyAlignment="1">
      <alignment horizontal="center" wrapText="1" readingOrder="1"/>
    </xf>
    <xf numFmtId="2" fontId="1" fillId="2" borderId="2" xfId="0" applyNumberFormat="1" applyFont="1" applyFill="1" applyBorder="1" applyAlignment="1">
      <alignment horizontal="center" wrapText="1" readingOrder="1"/>
    </xf>
    <xf numFmtId="3" fontId="1" fillId="2" borderId="2" xfId="0" applyNumberFormat="1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 wrapText="1" readingOrder="1"/>
    </xf>
    <xf numFmtId="0" fontId="4" fillId="0" borderId="0" xfId="0" applyFont="1"/>
    <xf numFmtId="0" fontId="4" fillId="3" borderId="1" xfId="0" applyFont="1" applyFill="1" applyBorder="1"/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2" fillId="2" borderId="1" xfId="0" applyFont="1" applyFill="1" applyBorder="1" applyAlignment="1">
      <alignment horizontal="left" wrapText="1" readingOrder="1"/>
    </xf>
    <xf numFmtId="3" fontId="2" fillId="2" borderId="1" xfId="0" applyNumberFormat="1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3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4" borderId="0" xfId="0" applyFont="1" applyFill="1"/>
    <xf numFmtId="13" fontId="2" fillId="5" borderId="1" xfId="0" applyNumberFormat="1" applyFont="1" applyFill="1" applyBorder="1" applyAlignment="1">
      <alignment horizontal="left" wrapText="1" readingOrder="1"/>
    </xf>
    <xf numFmtId="0" fontId="2" fillId="5" borderId="1" xfId="0" applyFont="1" applyFill="1" applyBorder="1" applyAlignment="1">
      <alignment horizontal="left" wrapText="1" readingOrder="1"/>
    </xf>
    <xf numFmtId="0" fontId="3" fillId="5" borderId="1" xfId="0" applyFont="1" applyFill="1" applyBorder="1" applyAlignment="1">
      <alignment horizontal="left" wrapText="1" readingOrder="1"/>
    </xf>
    <xf numFmtId="3" fontId="2" fillId="5" borderId="1" xfId="0" applyNumberFormat="1" applyFont="1" applyFill="1" applyBorder="1" applyAlignment="1">
      <alignment horizontal="center" wrapText="1" readingOrder="1"/>
    </xf>
    <xf numFmtId="0" fontId="2" fillId="5" borderId="1" xfId="0" applyFont="1" applyFill="1" applyBorder="1" applyAlignment="1">
      <alignment horizontal="center" wrapText="1" readingOrder="1"/>
    </xf>
    <xf numFmtId="3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0" xfId="0" applyFont="1" applyFill="1"/>
    <xf numFmtId="0" fontId="4" fillId="5" borderId="1" xfId="0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02BA-1D0A-A64D-9292-7599AC03D09F}">
  <dimension ref="A1:AN35"/>
  <sheetViews>
    <sheetView tabSelected="1" workbookViewId="0">
      <selection activeCell="C2" sqref="C2"/>
    </sheetView>
  </sheetViews>
  <sheetFormatPr baseColWidth="10" defaultColWidth="11" defaultRowHeight="16" x14ac:dyDescent="0.2"/>
  <cols>
    <col min="1" max="1" width="14.1640625" style="8" bestFit="1" customWidth="1"/>
    <col min="2" max="2" width="10.6640625" style="8" customWidth="1"/>
    <col min="3" max="3" width="17.5" style="8" bestFit="1" customWidth="1"/>
    <col min="4" max="4" width="23.83203125" style="8" customWidth="1"/>
    <col min="5" max="5" width="22.5" style="8" customWidth="1"/>
    <col min="6" max="6" width="22.6640625" style="32" bestFit="1" customWidth="1"/>
    <col min="7" max="7" width="26.33203125" style="33" customWidth="1"/>
    <col min="8" max="8" width="12.1640625" style="33" bestFit="1" customWidth="1"/>
    <col min="9" max="9" width="11" style="32"/>
    <col min="10" max="10" width="12.6640625" style="34" bestFit="1" customWidth="1"/>
    <col min="11" max="11" width="11" style="34"/>
    <col min="12" max="14" width="11" style="32"/>
    <col min="15" max="15" width="12.6640625" style="33" bestFit="1" customWidth="1"/>
    <col min="16" max="16" width="11" style="34"/>
    <col min="17" max="16384" width="11" style="8"/>
  </cols>
  <sheetData>
    <row r="1" spans="1:40" ht="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9</v>
      </c>
      <c r="P1" s="5" t="s">
        <v>10</v>
      </c>
    </row>
    <row r="2" spans="1:40" s="16" customFormat="1" x14ac:dyDescent="0.2">
      <c r="A2" s="9" t="s">
        <v>14</v>
      </c>
      <c r="B2" s="9" t="s">
        <v>15</v>
      </c>
      <c r="C2" s="10">
        <v>16</v>
      </c>
      <c r="D2" s="10" t="s">
        <v>16</v>
      </c>
      <c r="E2" s="9" t="s">
        <v>17</v>
      </c>
      <c r="F2" s="11">
        <v>66333723</v>
      </c>
      <c r="G2" s="12">
        <v>0.70330000000000004</v>
      </c>
      <c r="H2" s="13"/>
      <c r="I2" s="14"/>
      <c r="J2" s="15"/>
      <c r="K2" s="15"/>
      <c r="L2" s="14"/>
      <c r="M2" s="14"/>
      <c r="N2" s="14"/>
      <c r="O2" s="13"/>
      <c r="P2" s="15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s="16" customFormat="1" x14ac:dyDescent="0.2">
      <c r="A3" s="9" t="s">
        <v>18</v>
      </c>
      <c r="B3" s="9" t="s">
        <v>15</v>
      </c>
      <c r="C3" s="10">
        <v>16</v>
      </c>
      <c r="D3" s="10" t="s">
        <v>16</v>
      </c>
      <c r="E3" s="9" t="s">
        <v>18</v>
      </c>
      <c r="F3" s="11">
        <v>71049722</v>
      </c>
      <c r="G3" s="12">
        <v>0.73899999999999999</v>
      </c>
      <c r="H3" s="13"/>
      <c r="I3" s="14"/>
      <c r="J3" s="15"/>
      <c r="K3" s="15"/>
      <c r="L3" s="14"/>
      <c r="M3" s="14"/>
      <c r="N3" s="14"/>
      <c r="O3" s="13"/>
      <c r="P3" s="15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ht="17" x14ac:dyDescent="0.2">
      <c r="A4" s="17" t="s">
        <v>19</v>
      </c>
      <c r="B4" s="17" t="s">
        <v>20</v>
      </c>
      <c r="C4" s="17">
        <v>21</v>
      </c>
      <c r="D4" s="17" t="s">
        <v>21</v>
      </c>
      <c r="E4" s="17" t="s">
        <v>22</v>
      </c>
      <c r="F4" s="18">
        <v>202401923</v>
      </c>
      <c r="G4" s="19" t="s">
        <v>23</v>
      </c>
      <c r="H4" s="18">
        <v>30859799</v>
      </c>
      <c r="I4" s="20">
        <v>628</v>
      </c>
      <c r="J4" s="18">
        <v>22146122</v>
      </c>
      <c r="K4" s="21">
        <f>22146122/30859799*100</f>
        <v>71.763662491774497</v>
      </c>
      <c r="L4" s="20">
        <v>628</v>
      </c>
      <c r="M4" s="20">
        <v>0</v>
      </c>
      <c r="N4" s="20">
        <v>3056</v>
      </c>
      <c r="O4" s="18">
        <v>22976205</v>
      </c>
      <c r="P4" s="21">
        <f>O4/30859799*100</f>
        <v>74.453514749075325</v>
      </c>
    </row>
    <row r="5" spans="1:40" ht="17" x14ac:dyDescent="0.2">
      <c r="A5" s="17" t="s">
        <v>24</v>
      </c>
      <c r="B5" s="17" t="s">
        <v>20</v>
      </c>
      <c r="C5" s="17">
        <v>24</v>
      </c>
      <c r="D5" s="17" t="s">
        <v>21</v>
      </c>
      <c r="E5" s="17" t="s">
        <v>22</v>
      </c>
      <c r="F5" s="18">
        <v>210216372</v>
      </c>
      <c r="G5" s="19" t="s">
        <v>25</v>
      </c>
      <c r="H5" s="18">
        <v>110879966</v>
      </c>
      <c r="I5" s="20">
        <v>3517</v>
      </c>
      <c r="J5" s="18">
        <v>59314748</v>
      </c>
      <c r="K5" s="21">
        <f t="shared" ref="K5:K10" si="0">J5/H5*100</f>
        <v>53.494558250495864</v>
      </c>
      <c r="L5" s="20">
        <v>3517</v>
      </c>
      <c r="M5" s="20">
        <v>0</v>
      </c>
      <c r="N5" s="20">
        <v>4966</v>
      </c>
      <c r="O5" s="18">
        <v>60023870</v>
      </c>
      <c r="P5" s="21">
        <f t="shared" ref="P5:P35" si="1">O5/H5*100</f>
        <v>54.134098489893113</v>
      </c>
    </row>
    <row r="6" spans="1:40" ht="17" x14ac:dyDescent="0.2">
      <c r="A6" s="17" t="s">
        <v>26</v>
      </c>
      <c r="B6" s="17" t="s">
        <v>20</v>
      </c>
      <c r="C6" s="17">
        <v>26</v>
      </c>
      <c r="D6" s="17" t="s">
        <v>21</v>
      </c>
      <c r="E6" s="17" t="s">
        <v>22</v>
      </c>
      <c r="F6" s="18">
        <v>272636632</v>
      </c>
      <c r="G6" s="19" t="s">
        <v>27</v>
      </c>
      <c r="H6" s="18">
        <v>173969055</v>
      </c>
      <c r="I6" s="20">
        <v>4028</v>
      </c>
      <c r="J6" s="18">
        <v>117560032</v>
      </c>
      <c r="K6" s="21">
        <f t="shared" si="0"/>
        <v>67.575254691128833</v>
      </c>
      <c r="L6" s="20">
        <v>4028</v>
      </c>
      <c r="M6" s="20">
        <v>0</v>
      </c>
      <c r="N6" s="20">
        <v>4859</v>
      </c>
      <c r="O6" s="18">
        <v>117961749</v>
      </c>
      <c r="P6" s="21">
        <f t="shared" si="1"/>
        <v>67.806167596875198</v>
      </c>
    </row>
    <row r="7" spans="1:40" ht="17" x14ac:dyDescent="0.2">
      <c r="A7" s="17" t="s">
        <v>28</v>
      </c>
      <c r="B7" s="17" t="s">
        <v>20</v>
      </c>
      <c r="C7" s="17">
        <v>17</v>
      </c>
      <c r="D7" s="17" t="s">
        <v>16</v>
      </c>
      <c r="E7" s="17" t="s">
        <v>18</v>
      </c>
      <c r="F7" s="18">
        <v>176760123</v>
      </c>
      <c r="G7" s="19" t="s">
        <v>29</v>
      </c>
      <c r="H7" s="18">
        <v>17344496</v>
      </c>
      <c r="I7" s="20">
        <v>881</v>
      </c>
      <c r="J7" s="18">
        <v>10775426</v>
      </c>
      <c r="K7" s="21">
        <f t="shared" si="0"/>
        <v>62.125910144636087</v>
      </c>
      <c r="L7" s="20">
        <v>881</v>
      </c>
      <c r="M7" s="20">
        <v>0</v>
      </c>
      <c r="N7" s="20">
        <v>2118</v>
      </c>
      <c r="O7" s="18">
        <v>3261155</v>
      </c>
      <c r="P7" s="21">
        <f t="shared" si="1"/>
        <v>18.802247122084147</v>
      </c>
    </row>
    <row r="8" spans="1:40" ht="17" x14ac:dyDescent="0.2">
      <c r="A8" s="17" t="s">
        <v>30</v>
      </c>
      <c r="B8" s="17" t="s">
        <v>20</v>
      </c>
      <c r="C8" s="17">
        <v>14</v>
      </c>
      <c r="D8" s="17" t="s">
        <v>16</v>
      </c>
      <c r="E8" s="17" t="s">
        <v>18</v>
      </c>
      <c r="F8" s="18">
        <v>201484584</v>
      </c>
      <c r="G8" s="19" t="s">
        <v>31</v>
      </c>
      <c r="H8" s="18">
        <v>50524812</v>
      </c>
      <c r="I8" s="20">
        <v>3242</v>
      </c>
      <c r="J8" s="18">
        <v>24745103</v>
      </c>
      <c r="K8" s="21">
        <f t="shared" si="0"/>
        <v>48.976140673220122</v>
      </c>
      <c r="L8" s="20">
        <v>3242</v>
      </c>
      <c r="M8" s="20">
        <v>0</v>
      </c>
      <c r="N8" s="20">
        <v>4316</v>
      </c>
      <c r="O8" s="18">
        <v>25328927</v>
      </c>
      <c r="P8" s="21">
        <f>O8/H8*100</f>
        <v>50.131660064366002</v>
      </c>
    </row>
    <row r="9" spans="1:40" ht="17" x14ac:dyDescent="0.2">
      <c r="A9" s="17" t="s">
        <v>32</v>
      </c>
      <c r="B9" s="17" t="s">
        <v>20</v>
      </c>
      <c r="C9" s="17">
        <v>16</v>
      </c>
      <c r="D9" s="17" t="s">
        <v>16</v>
      </c>
      <c r="E9" s="17" t="s">
        <v>18</v>
      </c>
      <c r="F9" s="18">
        <v>167304725</v>
      </c>
      <c r="G9" s="19" t="s">
        <v>33</v>
      </c>
      <c r="H9" s="18">
        <v>23953801</v>
      </c>
      <c r="I9" s="20">
        <v>2403</v>
      </c>
      <c r="J9" s="18">
        <v>4943077</v>
      </c>
      <c r="K9" s="21">
        <f t="shared" si="0"/>
        <v>20.635877370777187</v>
      </c>
      <c r="L9" s="20">
        <v>2403</v>
      </c>
      <c r="M9" s="20">
        <v>0</v>
      </c>
      <c r="N9" s="20">
        <v>4034</v>
      </c>
      <c r="O9" s="18">
        <v>5833155</v>
      </c>
      <c r="P9" s="21">
        <f t="shared" si="1"/>
        <v>24.351688485681251</v>
      </c>
    </row>
    <row r="10" spans="1:40" ht="17" x14ac:dyDescent="0.2">
      <c r="A10" s="17" t="s">
        <v>34</v>
      </c>
      <c r="B10" s="17" t="s">
        <v>20</v>
      </c>
      <c r="C10" s="17">
        <v>17</v>
      </c>
      <c r="D10" s="17" t="s">
        <v>16</v>
      </c>
      <c r="E10" s="17" t="s">
        <v>18</v>
      </c>
      <c r="F10" s="18">
        <v>225091644</v>
      </c>
      <c r="G10" s="19" t="s">
        <v>35</v>
      </c>
      <c r="H10" s="18">
        <v>125605905</v>
      </c>
      <c r="I10" s="20">
        <v>16321</v>
      </c>
      <c r="J10" s="18">
        <v>72449901</v>
      </c>
      <c r="K10" s="21">
        <f t="shared" si="0"/>
        <v>57.68033039529471</v>
      </c>
      <c r="L10" s="20">
        <v>16321</v>
      </c>
      <c r="M10" s="20">
        <v>0</v>
      </c>
      <c r="N10" s="20">
        <v>75619</v>
      </c>
      <c r="O10" s="18">
        <v>101145507</v>
      </c>
      <c r="P10" s="21">
        <f t="shared" si="1"/>
        <v>80.52607638152044</v>
      </c>
    </row>
    <row r="11" spans="1:40" ht="17" x14ac:dyDescent="0.2">
      <c r="A11" s="17" t="s">
        <v>36</v>
      </c>
      <c r="B11" s="17" t="s">
        <v>20</v>
      </c>
      <c r="C11" s="17">
        <v>14</v>
      </c>
      <c r="D11" s="17" t="s">
        <v>37</v>
      </c>
      <c r="E11" s="17" t="s">
        <v>38</v>
      </c>
      <c r="F11" s="18">
        <v>176633853</v>
      </c>
      <c r="G11" s="19" t="s">
        <v>39</v>
      </c>
      <c r="H11" s="18" t="s">
        <v>40</v>
      </c>
      <c r="I11" s="20">
        <v>4166</v>
      </c>
      <c r="J11" s="18">
        <v>18236363</v>
      </c>
      <c r="K11" s="21">
        <f>18236363/41889303*100</f>
        <v>43.5346537038346</v>
      </c>
      <c r="L11" s="20">
        <v>1915</v>
      </c>
      <c r="M11" s="20">
        <v>2251</v>
      </c>
      <c r="N11" s="20">
        <v>5842</v>
      </c>
      <c r="O11" s="18">
        <v>19103691</v>
      </c>
      <c r="P11" s="21" t="e">
        <f>O11/H11*100</f>
        <v>#VALUE!</v>
      </c>
    </row>
    <row r="12" spans="1:40" ht="17" x14ac:dyDescent="0.2">
      <c r="A12" s="17" t="s">
        <v>41</v>
      </c>
      <c r="B12" s="17" t="s">
        <v>20</v>
      </c>
      <c r="C12" s="17">
        <v>16</v>
      </c>
      <c r="D12" s="17" t="s">
        <v>37</v>
      </c>
      <c r="E12" s="17" t="s">
        <v>38</v>
      </c>
      <c r="F12" s="18">
        <v>122578812</v>
      </c>
      <c r="G12" s="19" t="s">
        <v>42</v>
      </c>
      <c r="H12" s="18">
        <v>16288118</v>
      </c>
      <c r="I12" s="20">
        <v>1836</v>
      </c>
      <c r="J12" s="18">
        <v>4325273</v>
      </c>
      <c r="K12" s="21">
        <f>J12/H12*100</f>
        <v>26.554774468112274</v>
      </c>
      <c r="L12" s="20">
        <v>1127</v>
      </c>
      <c r="M12" s="20">
        <v>709</v>
      </c>
      <c r="N12" s="20">
        <v>2769</v>
      </c>
      <c r="O12" s="18">
        <v>4809720</v>
      </c>
      <c r="P12" s="21">
        <f t="shared" si="1"/>
        <v>29.529010042780879</v>
      </c>
    </row>
    <row r="13" spans="1:40" ht="17" x14ac:dyDescent="0.2">
      <c r="A13" s="17" t="s">
        <v>43</v>
      </c>
      <c r="B13" s="17" t="s">
        <v>20</v>
      </c>
      <c r="C13" s="17">
        <v>14</v>
      </c>
      <c r="D13" s="17" t="s">
        <v>37</v>
      </c>
      <c r="E13" s="17" t="s">
        <v>38</v>
      </c>
      <c r="F13" s="18">
        <v>206451780</v>
      </c>
      <c r="G13" s="19" t="s">
        <v>44</v>
      </c>
      <c r="H13" s="18" t="s">
        <v>45</v>
      </c>
      <c r="I13" s="20">
        <v>3881</v>
      </c>
      <c r="J13" s="18">
        <v>14805193</v>
      </c>
      <c r="K13" s="21">
        <f>14805193/37335074*100</f>
        <v>39.654918053731457</v>
      </c>
      <c r="L13" s="20">
        <v>1816</v>
      </c>
      <c r="M13" s="20">
        <v>2065</v>
      </c>
      <c r="N13" s="20">
        <v>5744</v>
      </c>
      <c r="O13" s="18">
        <v>15763367</v>
      </c>
      <c r="P13" s="21" t="e">
        <f t="shared" si="1"/>
        <v>#VALUE!</v>
      </c>
    </row>
    <row r="14" spans="1:40" s="22" customFormat="1" ht="17" x14ac:dyDescent="0.2">
      <c r="A14" s="17" t="s">
        <v>46</v>
      </c>
      <c r="B14" s="17" t="s">
        <v>20</v>
      </c>
      <c r="C14" s="17">
        <v>16</v>
      </c>
      <c r="D14" s="17" t="s">
        <v>37</v>
      </c>
      <c r="E14" s="17" t="s">
        <v>38</v>
      </c>
      <c r="F14" s="18">
        <v>134225658</v>
      </c>
      <c r="G14" s="19" t="s">
        <v>47</v>
      </c>
      <c r="H14" s="18">
        <v>17345544</v>
      </c>
      <c r="I14" s="20">
        <v>1832</v>
      </c>
      <c r="J14" s="18">
        <v>5066341</v>
      </c>
      <c r="K14" s="21">
        <f t="shared" ref="K14:K27" si="2">J14/H14*100</f>
        <v>29.208314250622525</v>
      </c>
      <c r="L14" s="20">
        <v>969</v>
      </c>
      <c r="M14" s="20">
        <v>863</v>
      </c>
      <c r="N14" s="20">
        <v>2734</v>
      </c>
      <c r="O14" s="18">
        <v>5546859</v>
      </c>
      <c r="P14" s="21">
        <f t="shared" si="1"/>
        <v>31.978581934357319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s="22" customFormat="1" ht="17" x14ac:dyDescent="0.2">
      <c r="A15" s="17" t="s">
        <v>48</v>
      </c>
      <c r="B15" s="17" t="s">
        <v>20</v>
      </c>
      <c r="C15" s="17">
        <v>29</v>
      </c>
      <c r="D15" s="17" t="s">
        <v>49</v>
      </c>
      <c r="E15" s="17" t="s">
        <v>50</v>
      </c>
      <c r="F15" s="18">
        <v>144540655</v>
      </c>
      <c r="G15" s="19" t="s">
        <v>51</v>
      </c>
      <c r="H15" s="18">
        <v>94703994</v>
      </c>
      <c r="I15" s="20">
        <v>2950</v>
      </c>
      <c r="J15" s="18">
        <v>70793006</v>
      </c>
      <c r="K15" s="21">
        <f t="shared" si="2"/>
        <v>74.751869493487249</v>
      </c>
      <c r="L15" s="20">
        <v>1641</v>
      </c>
      <c r="M15" s="20">
        <v>1309</v>
      </c>
      <c r="N15" s="20">
        <v>6253</v>
      </c>
      <c r="O15" s="18">
        <v>72098664</v>
      </c>
      <c r="P15" s="21">
        <f t="shared" si="1"/>
        <v>76.13054207618741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7" x14ac:dyDescent="0.2">
      <c r="A16" s="17" t="s">
        <v>52</v>
      </c>
      <c r="B16" s="17" t="s">
        <v>20</v>
      </c>
      <c r="C16" s="17">
        <v>30</v>
      </c>
      <c r="D16" s="17" t="s">
        <v>49</v>
      </c>
      <c r="E16" s="17" t="s">
        <v>50</v>
      </c>
      <c r="F16" s="18">
        <v>147337587</v>
      </c>
      <c r="G16" s="19" t="s">
        <v>53</v>
      </c>
      <c r="H16" s="18">
        <v>97236747</v>
      </c>
      <c r="I16" s="20">
        <v>3177</v>
      </c>
      <c r="J16" s="18">
        <v>72238846</v>
      </c>
      <c r="K16" s="21">
        <f t="shared" si="2"/>
        <v>74.291714016307026</v>
      </c>
      <c r="L16" s="20">
        <v>1728</v>
      </c>
      <c r="M16" s="20">
        <v>1449</v>
      </c>
      <c r="N16" s="20">
        <v>7671</v>
      </c>
      <c r="O16" s="18">
        <v>74049242</v>
      </c>
      <c r="P16" s="21">
        <f t="shared" si="1"/>
        <v>76.153557461152005</v>
      </c>
    </row>
    <row r="17" spans="1:40" ht="17" x14ac:dyDescent="0.2">
      <c r="A17" s="17" t="s">
        <v>54</v>
      </c>
      <c r="B17" s="17" t="s">
        <v>20</v>
      </c>
      <c r="C17" s="17">
        <v>31</v>
      </c>
      <c r="D17" s="17" t="s">
        <v>49</v>
      </c>
      <c r="E17" s="17" t="s">
        <v>50</v>
      </c>
      <c r="F17" s="18">
        <v>151084512</v>
      </c>
      <c r="G17" s="19" t="s">
        <v>55</v>
      </c>
      <c r="H17" s="18">
        <v>80360018</v>
      </c>
      <c r="I17" s="20">
        <v>1738</v>
      </c>
      <c r="J17" s="18">
        <v>62159187</v>
      </c>
      <c r="K17" s="21">
        <f t="shared" si="2"/>
        <v>77.350887352962019</v>
      </c>
      <c r="L17" s="20">
        <v>1041</v>
      </c>
      <c r="M17" s="20">
        <v>697</v>
      </c>
      <c r="N17" s="20">
        <v>3519</v>
      </c>
      <c r="O17" s="18">
        <v>62972050</v>
      </c>
      <c r="P17" s="21">
        <f t="shared" si="1"/>
        <v>78.362414005432399</v>
      </c>
    </row>
    <row r="18" spans="1:40" s="22" customFormat="1" ht="17" x14ac:dyDescent="0.2">
      <c r="A18" s="17" t="s">
        <v>56</v>
      </c>
      <c r="B18" s="17" t="s">
        <v>20</v>
      </c>
      <c r="C18" s="17">
        <v>29</v>
      </c>
      <c r="D18" s="17" t="s">
        <v>49</v>
      </c>
      <c r="E18" s="17" t="s">
        <v>50</v>
      </c>
      <c r="F18" s="18">
        <v>146668985</v>
      </c>
      <c r="G18" s="19" t="s">
        <v>57</v>
      </c>
      <c r="H18" s="18">
        <v>56982663</v>
      </c>
      <c r="I18" s="20">
        <v>1181</v>
      </c>
      <c r="J18" s="18">
        <v>44131755</v>
      </c>
      <c r="K18" s="21">
        <f t="shared" si="2"/>
        <v>77.447687904652682</v>
      </c>
      <c r="L18" s="20">
        <v>39</v>
      </c>
      <c r="M18" s="20">
        <v>1142</v>
      </c>
      <c r="N18" s="20">
        <v>1879</v>
      </c>
      <c r="O18" s="18">
        <v>44482448</v>
      </c>
      <c r="P18" s="21">
        <f t="shared" si="1"/>
        <v>78.063125972192623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7" x14ac:dyDescent="0.2">
      <c r="A19" s="17" t="s">
        <v>58</v>
      </c>
      <c r="B19" s="17" t="s">
        <v>20</v>
      </c>
      <c r="C19" s="17">
        <v>30</v>
      </c>
      <c r="D19" s="17" t="s">
        <v>49</v>
      </c>
      <c r="E19" s="17" t="s">
        <v>50</v>
      </c>
      <c r="F19" s="18">
        <v>134870568</v>
      </c>
      <c r="G19" s="19" t="s">
        <v>59</v>
      </c>
      <c r="H19" s="18">
        <v>56026557</v>
      </c>
      <c r="I19" s="20">
        <v>1064</v>
      </c>
      <c r="J19" s="18">
        <v>41720718</v>
      </c>
      <c r="K19" s="21">
        <f t="shared" si="2"/>
        <v>74.465967987288593</v>
      </c>
      <c r="L19" s="20">
        <v>52</v>
      </c>
      <c r="M19" s="20">
        <v>1012</v>
      </c>
      <c r="N19" s="20">
        <v>1687</v>
      </c>
      <c r="O19" s="18">
        <v>42008285</v>
      </c>
      <c r="P19" s="21">
        <f t="shared" si="1"/>
        <v>74.979237078587573</v>
      </c>
    </row>
    <row r="20" spans="1:40" ht="17" x14ac:dyDescent="0.2">
      <c r="A20" s="17" t="s">
        <v>60</v>
      </c>
      <c r="B20" s="17" t="s">
        <v>20</v>
      </c>
      <c r="C20" s="17">
        <v>31</v>
      </c>
      <c r="D20" s="17" t="s">
        <v>49</v>
      </c>
      <c r="E20" s="17" t="s">
        <v>50</v>
      </c>
      <c r="F20" s="18">
        <v>125365521</v>
      </c>
      <c r="G20" s="19" t="s">
        <v>61</v>
      </c>
      <c r="H20" s="18">
        <v>35241787</v>
      </c>
      <c r="I20" s="20">
        <v>774</v>
      </c>
      <c r="J20" s="18">
        <v>27398008</v>
      </c>
      <c r="K20" s="21">
        <f t="shared" si="2"/>
        <v>77.742958948137328</v>
      </c>
      <c r="L20" s="20">
        <v>28</v>
      </c>
      <c r="M20" s="20">
        <v>746</v>
      </c>
      <c r="N20" s="20">
        <v>1118</v>
      </c>
      <c r="O20" s="18">
        <v>27570406</v>
      </c>
      <c r="P20" s="21">
        <f t="shared" si="1"/>
        <v>78.232145265505409</v>
      </c>
    </row>
    <row r="21" spans="1:40" ht="17" x14ac:dyDescent="0.2">
      <c r="A21" s="17" t="s">
        <v>62</v>
      </c>
      <c r="B21" s="17" t="s">
        <v>20</v>
      </c>
      <c r="C21" s="17">
        <v>14</v>
      </c>
      <c r="D21" s="17" t="s">
        <v>16</v>
      </c>
      <c r="E21" s="17" t="s">
        <v>17</v>
      </c>
      <c r="F21" s="18">
        <v>210391362</v>
      </c>
      <c r="G21" s="19" t="s">
        <v>63</v>
      </c>
      <c r="H21" s="18">
        <v>73889980</v>
      </c>
      <c r="I21" s="20">
        <v>5629</v>
      </c>
      <c r="J21" s="18">
        <v>35555435</v>
      </c>
      <c r="K21" s="21">
        <f t="shared" si="2"/>
        <v>48.119427018385984</v>
      </c>
      <c r="L21" s="20">
        <v>0</v>
      </c>
      <c r="M21" s="20">
        <v>5629</v>
      </c>
      <c r="N21" s="20">
        <v>7614</v>
      </c>
      <c r="O21" s="18">
        <v>36652266</v>
      </c>
      <c r="P21" s="21">
        <f t="shared" si="1"/>
        <v>49.603838030542164</v>
      </c>
    </row>
    <row r="22" spans="1:40" ht="17" x14ac:dyDescent="0.2">
      <c r="A22" s="17" t="s">
        <v>64</v>
      </c>
      <c r="B22" s="17" t="s">
        <v>20</v>
      </c>
      <c r="C22" s="17">
        <v>16</v>
      </c>
      <c r="D22" s="17" t="s">
        <v>16</v>
      </c>
      <c r="E22" s="17" t="s">
        <v>17</v>
      </c>
      <c r="F22" s="18">
        <v>211116857</v>
      </c>
      <c r="G22" s="19" t="s">
        <v>65</v>
      </c>
      <c r="H22" s="18">
        <v>81122657</v>
      </c>
      <c r="I22" s="20">
        <v>6065</v>
      </c>
      <c r="J22" s="18">
        <v>13683239</v>
      </c>
      <c r="K22" s="21">
        <f t="shared" si="2"/>
        <v>16.867345703432765</v>
      </c>
      <c r="L22" s="20">
        <v>0</v>
      </c>
      <c r="M22" s="20">
        <v>6065</v>
      </c>
      <c r="N22" s="20">
        <v>23497</v>
      </c>
      <c r="O22" s="18">
        <v>22216040</v>
      </c>
      <c r="P22" s="21">
        <f t="shared" si="1"/>
        <v>27.385740089849374</v>
      </c>
    </row>
    <row r="23" spans="1:40" ht="17" x14ac:dyDescent="0.2">
      <c r="A23" s="17" t="s">
        <v>66</v>
      </c>
      <c r="B23" s="17" t="s">
        <v>20</v>
      </c>
      <c r="C23" s="17">
        <v>17</v>
      </c>
      <c r="D23" s="17" t="s">
        <v>16</v>
      </c>
      <c r="E23" s="17" t="s">
        <v>17</v>
      </c>
      <c r="F23" s="18">
        <v>179557210</v>
      </c>
      <c r="G23" s="19" t="s">
        <v>67</v>
      </c>
      <c r="H23" s="18">
        <v>68402286</v>
      </c>
      <c r="I23" s="20">
        <v>1971</v>
      </c>
      <c r="J23" s="18">
        <v>32194161</v>
      </c>
      <c r="K23" s="21">
        <f t="shared" si="2"/>
        <v>47.065913849721333</v>
      </c>
      <c r="L23" s="20">
        <v>0</v>
      </c>
      <c r="M23" s="20">
        <v>1971</v>
      </c>
      <c r="N23" s="20">
        <v>14726</v>
      </c>
      <c r="O23" s="18">
        <v>36470623</v>
      </c>
      <c r="P23" s="21">
        <f t="shared" si="1"/>
        <v>53.317842330591112</v>
      </c>
    </row>
    <row r="24" spans="1:40" ht="17" x14ac:dyDescent="0.2">
      <c r="A24" s="17" t="s">
        <v>68</v>
      </c>
      <c r="B24" s="17" t="s">
        <v>20</v>
      </c>
      <c r="C24" s="17">
        <v>17</v>
      </c>
      <c r="D24" s="17" t="s">
        <v>16</v>
      </c>
      <c r="E24" s="17" t="s">
        <v>17</v>
      </c>
      <c r="F24" s="18">
        <v>151575060</v>
      </c>
      <c r="G24" s="19" t="s">
        <v>69</v>
      </c>
      <c r="H24" s="18">
        <v>29392371</v>
      </c>
      <c r="I24" s="20">
        <v>2627</v>
      </c>
      <c r="J24" s="18">
        <v>9458130</v>
      </c>
      <c r="K24" s="21">
        <f t="shared" si="2"/>
        <v>32.178860289971162</v>
      </c>
      <c r="L24" s="20">
        <v>0</v>
      </c>
      <c r="M24" s="20">
        <v>2627</v>
      </c>
      <c r="N24" s="20">
        <v>4717</v>
      </c>
      <c r="O24" s="18">
        <v>10498758</v>
      </c>
      <c r="P24" s="21">
        <f t="shared" si="1"/>
        <v>35.719330026148619</v>
      </c>
    </row>
    <row r="25" spans="1:40" ht="17" x14ac:dyDescent="0.2">
      <c r="A25" s="17" t="s">
        <v>70</v>
      </c>
      <c r="B25" s="17" t="s">
        <v>20</v>
      </c>
      <c r="C25" s="17">
        <v>21</v>
      </c>
      <c r="D25" s="17" t="s">
        <v>21</v>
      </c>
      <c r="E25" s="17" t="s">
        <v>71</v>
      </c>
      <c r="F25" s="18">
        <v>235941171</v>
      </c>
      <c r="G25" s="19" t="s">
        <v>72</v>
      </c>
      <c r="H25" s="18">
        <v>152348236</v>
      </c>
      <c r="I25" s="20">
        <v>3489</v>
      </c>
      <c r="J25" s="18">
        <v>124296346</v>
      </c>
      <c r="K25" s="21">
        <f t="shared" si="2"/>
        <v>81.586993892072371</v>
      </c>
      <c r="L25" s="20">
        <v>0</v>
      </c>
      <c r="M25" s="20">
        <v>3489</v>
      </c>
      <c r="N25" s="20">
        <v>6923</v>
      </c>
      <c r="O25" s="18">
        <v>125620607</v>
      </c>
      <c r="P25" s="21">
        <f t="shared" si="1"/>
        <v>82.456226798713971</v>
      </c>
    </row>
    <row r="26" spans="1:40" ht="17" x14ac:dyDescent="0.2">
      <c r="A26" s="17" t="s">
        <v>73</v>
      </c>
      <c r="B26" s="17" t="s">
        <v>20</v>
      </c>
      <c r="C26" s="17">
        <v>24</v>
      </c>
      <c r="D26" s="17" t="s">
        <v>21</v>
      </c>
      <c r="E26" s="17" t="s">
        <v>71</v>
      </c>
      <c r="F26" s="18">
        <v>196168423</v>
      </c>
      <c r="G26" s="19" t="s">
        <v>74</v>
      </c>
      <c r="H26" s="18">
        <v>79977216</v>
      </c>
      <c r="I26" s="20">
        <v>1783</v>
      </c>
      <c r="J26" s="18">
        <v>38541206</v>
      </c>
      <c r="K26" s="21">
        <f t="shared" si="2"/>
        <v>48.190232078095839</v>
      </c>
      <c r="L26" s="20">
        <v>0</v>
      </c>
      <c r="M26" s="20">
        <v>1783</v>
      </c>
      <c r="N26" s="20">
        <v>2583</v>
      </c>
      <c r="O26" s="18">
        <v>38905577</v>
      </c>
      <c r="P26" s="21">
        <f t="shared" si="1"/>
        <v>48.645825581125507</v>
      </c>
    </row>
    <row r="27" spans="1:40" ht="17" x14ac:dyDescent="0.2">
      <c r="A27" s="17" t="s">
        <v>75</v>
      </c>
      <c r="B27" s="17" t="s">
        <v>20</v>
      </c>
      <c r="C27" s="17">
        <v>26</v>
      </c>
      <c r="D27" s="17" t="s">
        <v>21</v>
      </c>
      <c r="E27" s="17" t="s">
        <v>71</v>
      </c>
      <c r="F27" s="18">
        <v>311727931</v>
      </c>
      <c r="G27" s="19" t="s">
        <v>76</v>
      </c>
      <c r="H27" s="18">
        <v>115021474</v>
      </c>
      <c r="I27" s="20">
        <v>4841</v>
      </c>
      <c r="J27" s="18">
        <v>101880204</v>
      </c>
      <c r="K27" s="21">
        <f t="shared" si="2"/>
        <v>88.574942101680946</v>
      </c>
      <c r="L27" s="20">
        <v>0</v>
      </c>
      <c r="M27" s="20">
        <v>4841</v>
      </c>
      <c r="N27" s="20">
        <v>58691</v>
      </c>
      <c r="O27" s="18">
        <v>121175665</v>
      </c>
      <c r="P27" s="21">
        <f t="shared" si="1"/>
        <v>105.35047133894319</v>
      </c>
    </row>
    <row r="28" spans="1:40" s="30" customFormat="1" ht="17" x14ac:dyDescent="0.2">
      <c r="A28" s="23" t="s">
        <v>77</v>
      </c>
      <c r="B28" s="24" t="s">
        <v>20</v>
      </c>
      <c r="C28" s="24">
        <v>17</v>
      </c>
      <c r="D28" s="24" t="s">
        <v>78</v>
      </c>
      <c r="E28" s="25" t="s">
        <v>79</v>
      </c>
      <c r="F28" s="26">
        <v>70339895</v>
      </c>
      <c r="G28" s="27" t="s">
        <v>80</v>
      </c>
      <c r="H28" s="26">
        <v>2432713</v>
      </c>
      <c r="I28" s="28"/>
      <c r="J28" s="26"/>
      <c r="K28" s="29"/>
      <c r="L28" s="28"/>
      <c r="M28" s="28"/>
      <c r="N28" s="26">
        <v>774</v>
      </c>
      <c r="O28" s="28">
        <v>283166</v>
      </c>
      <c r="P28" s="29">
        <f t="shared" si="1"/>
        <v>11.639926288057818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s="30" customFormat="1" ht="17" x14ac:dyDescent="0.2">
      <c r="A29" s="24" t="s">
        <v>81</v>
      </c>
      <c r="B29" s="24" t="s">
        <v>20</v>
      </c>
      <c r="C29" s="24">
        <v>20</v>
      </c>
      <c r="D29" s="24" t="s">
        <v>78</v>
      </c>
      <c r="E29" s="25" t="s">
        <v>79</v>
      </c>
      <c r="F29" s="26">
        <v>71546751</v>
      </c>
      <c r="G29" s="27" t="s">
        <v>82</v>
      </c>
      <c r="H29" s="26">
        <v>194630</v>
      </c>
      <c r="I29" s="28"/>
      <c r="J29" s="26"/>
      <c r="K29" s="29"/>
      <c r="L29" s="28"/>
      <c r="M29" s="28"/>
      <c r="N29" s="26">
        <v>102</v>
      </c>
      <c r="O29" s="28">
        <v>16981</v>
      </c>
      <c r="P29" s="29">
        <f t="shared" si="1"/>
        <v>8.7247598006473819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s="30" customFormat="1" ht="17" x14ac:dyDescent="0.2">
      <c r="A30" s="23" t="s">
        <v>83</v>
      </c>
      <c r="B30" s="24" t="s">
        <v>20</v>
      </c>
      <c r="C30" s="24">
        <v>18</v>
      </c>
      <c r="D30" s="24" t="s">
        <v>78</v>
      </c>
      <c r="E30" s="25" t="s">
        <v>79</v>
      </c>
      <c r="F30" s="26">
        <v>74606583</v>
      </c>
      <c r="G30" s="27" t="s">
        <v>84</v>
      </c>
      <c r="H30" s="26">
        <v>2131303</v>
      </c>
      <c r="I30" s="28"/>
      <c r="J30" s="26"/>
      <c r="K30" s="29"/>
      <c r="L30" s="28"/>
      <c r="M30" s="28"/>
      <c r="N30" s="26">
        <v>2363</v>
      </c>
      <c r="O30" s="28">
        <v>617195</v>
      </c>
      <c r="P30" s="29">
        <f t="shared" si="1"/>
        <v>28.95857604479513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s="30" customFormat="1" ht="17" x14ac:dyDescent="0.2">
      <c r="A31" s="23" t="s">
        <v>85</v>
      </c>
      <c r="B31" s="24" t="s">
        <v>20</v>
      </c>
      <c r="C31" s="24">
        <v>17</v>
      </c>
      <c r="D31" s="24" t="s">
        <v>78</v>
      </c>
      <c r="E31" s="25" t="s">
        <v>86</v>
      </c>
      <c r="F31" s="26">
        <v>71682543</v>
      </c>
      <c r="G31" s="27" t="s">
        <v>87</v>
      </c>
      <c r="H31" s="26">
        <v>1871886</v>
      </c>
      <c r="I31" s="28"/>
      <c r="J31" s="26"/>
      <c r="K31" s="29"/>
      <c r="L31" s="28"/>
      <c r="M31" s="28"/>
      <c r="N31" s="26">
        <v>2386</v>
      </c>
      <c r="O31" s="28">
        <v>498050</v>
      </c>
      <c r="P31" s="29">
        <f t="shared" si="1"/>
        <v>26.606855332002056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s="30" customFormat="1" ht="34" x14ac:dyDescent="0.2">
      <c r="A32" s="24" t="s">
        <v>88</v>
      </c>
      <c r="B32" s="24" t="s">
        <v>20</v>
      </c>
      <c r="C32" s="24">
        <v>19</v>
      </c>
      <c r="D32" s="24" t="s">
        <v>78</v>
      </c>
      <c r="E32" s="25" t="s">
        <v>86</v>
      </c>
      <c r="F32" s="26">
        <v>62605732</v>
      </c>
      <c r="G32" s="27" t="s">
        <v>89</v>
      </c>
      <c r="H32" s="26">
        <v>3009101</v>
      </c>
      <c r="I32" s="28"/>
      <c r="J32" s="26"/>
      <c r="K32" s="29"/>
      <c r="L32" s="28"/>
      <c r="M32" s="28"/>
      <c r="N32" s="26">
        <v>4665</v>
      </c>
      <c r="O32" s="28">
        <v>825469</v>
      </c>
      <c r="P32" s="29">
        <f t="shared" si="1"/>
        <v>27.43241253783107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s="30" customFormat="1" ht="34" x14ac:dyDescent="0.2">
      <c r="A33" s="24" t="s">
        <v>90</v>
      </c>
      <c r="B33" s="24" t="s">
        <v>20</v>
      </c>
      <c r="C33" s="24">
        <v>19</v>
      </c>
      <c r="D33" s="24" t="s">
        <v>78</v>
      </c>
      <c r="E33" s="25" t="s">
        <v>86</v>
      </c>
      <c r="F33" s="26">
        <v>63039836</v>
      </c>
      <c r="G33" s="27" t="s">
        <v>91</v>
      </c>
      <c r="H33" s="26">
        <v>3654760</v>
      </c>
      <c r="I33" s="28"/>
      <c r="J33" s="26"/>
      <c r="K33" s="29"/>
      <c r="L33" s="28"/>
      <c r="M33" s="28"/>
      <c r="N33" s="26">
        <v>2609</v>
      </c>
      <c r="O33" s="28">
        <v>1207991</v>
      </c>
      <c r="P33" s="29">
        <f t="shared" si="1"/>
        <v>33.052539701649359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s="30" customFormat="1" ht="17" x14ac:dyDescent="0.2">
      <c r="A34" s="24" t="s">
        <v>81</v>
      </c>
      <c r="B34" s="24" t="s">
        <v>20</v>
      </c>
      <c r="C34" s="24">
        <v>20</v>
      </c>
      <c r="D34" s="24" t="s">
        <v>78</v>
      </c>
      <c r="E34" s="25" t="s">
        <v>86</v>
      </c>
      <c r="F34" s="26">
        <v>80880636</v>
      </c>
      <c r="G34" s="27" t="s">
        <v>92</v>
      </c>
      <c r="H34" s="26">
        <v>1960801</v>
      </c>
      <c r="I34" s="28"/>
      <c r="J34" s="26"/>
      <c r="K34" s="29"/>
      <c r="L34" s="28"/>
      <c r="M34" s="28"/>
      <c r="N34" s="26">
        <v>733</v>
      </c>
      <c r="O34" s="31">
        <v>110029</v>
      </c>
      <c r="P34" s="29">
        <f t="shared" si="1"/>
        <v>5.6114312467200902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s="30" customFormat="1" ht="17" x14ac:dyDescent="0.2">
      <c r="A35" s="24" t="s">
        <v>93</v>
      </c>
      <c r="B35" s="24" t="s">
        <v>20</v>
      </c>
      <c r="C35" s="24">
        <v>18</v>
      </c>
      <c r="D35" s="24" t="s">
        <v>78</v>
      </c>
      <c r="E35" s="25" t="s">
        <v>86</v>
      </c>
      <c r="F35" s="26">
        <v>79688049</v>
      </c>
      <c r="G35" s="27" t="s">
        <v>94</v>
      </c>
      <c r="H35" s="26">
        <v>2345463</v>
      </c>
      <c r="I35" s="28"/>
      <c r="J35" s="26"/>
      <c r="K35" s="29"/>
      <c r="L35" s="28"/>
      <c r="M35" s="28"/>
      <c r="N35" s="26">
        <v>2895</v>
      </c>
      <c r="O35" s="28">
        <v>605996</v>
      </c>
      <c r="P35" s="29">
        <f t="shared" si="1"/>
        <v>25.836945626513824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Hazzard, Brittany</dc:creator>
  <cp:lastModifiedBy>Hazzard, Brittany</cp:lastModifiedBy>
  <dcterms:created xsi:type="dcterms:W3CDTF">2024-05-23T15:14:50Z</dcterms:created>
  <dcterms:modified xsi:type="dcterms:W3CDTF">2024-05-23T15:15:22Z</dcterms:modified>
</cp:coreProperties>
</file>